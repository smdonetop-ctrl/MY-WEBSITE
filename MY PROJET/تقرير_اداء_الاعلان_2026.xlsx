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MY PROJET\"/>
    </mc:Choice>
  </mc:AlternateContent>
  <xr:revisionPtr revIDLastSave="0" documentId="13_ncr:1_{F4C55ACB-84DD-42D0-BAA9-505074E27B5F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ملخص الإعلان" sheetId="1" r:id="rId1"/>
    <sheet name="تحليل الفئات العمرية" sheetId="2" r:id="rId2"/>
    <sheet name="تحليل الجنس" sheetId="3" r:id="rId3"/>
    <sheet name="لوحة التحكم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1" l="1"/>
  <c r="B15" i="1"/>
  <c r="C15" i="1" s="1"/>
</calcChain>
</file>

<file path=xl/sharedStrings.xml><?xml version="1.0" encoding="utf-8"?>
<sst xmlns="http://schemas.openxmlformats.org/spreadsheetml/2006/main" count="107" uniqueCount="79">
  <si>
    <t>📊  تقرير أداء الإعلان – ولاية باتنة 2026</t>
  </si>
  <si>
    <t>مؤشرات الأداء الرئيسية (KPIs)</t>
  </si>
  <si>
    <t>👥  إجمالي الوصول
11,912</t>
  </si>
  <si>
    <t>💬  إجمالي التفاعلات
1,776</t>
  </si>
  <si>
    <t>📈  معدل التفاعل
14.9%</t>
  </si>
  <si>
    <t>📍  المنطقة المستهدفة
باتنة</t>
  </si>
  <si>
    <t>الوصول حسب الفئة العمرية</t>
  </si>
  <si>
    <t>الفئة العمرية</t>
  </si>
  <si>
    <t>الوصول (Reach)</t>
  </si>
  <si>
    <t>النسبة %</t>
  </si>
  <si>
    <t>18 – 24</t>
  </si>
  <si>
    <t>53.0%</t>
  </si>
  <si>
    <t>25 – 34</t>
  </si>
  <si>
    <t>28.6%</t>
  </si>
  <si>
    <t>35 – 44</t>
  </si>
  <si>
    <t>11.6%</t>
  </si>
  <si>
    <t>45 – 54</t>
  </si>
  <si>
    <t>4.7%</t>
  </si>
  <si>
    <t>55 – 64</t>
  </si>
  <si>
    <t>1.5%</t>
  </si>
  <si>
    <t>65+</t>
  </si>
  <si>
    <t>0.7%</t>
  </si>
  <si>
    <t>الإجمالي</t>
  </si>
  <si>
    <t>الوصول حسب الجنس</t>
  </si>
  <si>
    <t>الجنس</t>
  </si>
  <si>
    <t>الإناث (Female)</t>
  </si>
  <si>
    <t>82.6%</t>
  </si>
  <si>
    <t>الذكور (Male)</t>
  </si>
  <si>
    <t>16.9%</t>
  </si>
  <si>
    <t>غير محدد</t>
  </si>
  <si>
    <t>0.5%</t>
  </si>
  <si>
    <t>100%</t>
  </si>
  <si>
    <t>إجمالي التفاعلات مع المنشور</t>
  </si>
  <si>
    <t>الولاية</t>
  </si>
  <si>
    <t>التفاعلات</t>
  </si>
  <si>
    <t>ولاية باتنة (Batna Province)</t>
  </si>
  <si>
    <t>المصدر: بيانات Meta Ads Manager – 2026</t>
  </si>
  <si>
    <t>📊 توزيع الوصول حسب الفئة العمرية – باتنة 2026</t>
  </si>
  <si>
    <t>الوصول</t>
  </si>
  <si>
    <t>التقييم</t>
  </si>
  <si>
    <t>🔥 الأعلى</t>
  </si>
  <si>
    <t>⭐ مرتفع</t>
  </si>
  <si>
    <t>📊 متوسط</t>
  </si>
  <si>
    <t>📉 منخفض</t>
  </si>
  <si>
    <t>👥 توزيع الوصول حسب الجنس – باتنة 2026</t>
  </si>
  <si>
    <t>🎯  لوحة تحكم أداء الإعلان – 2026</t>
  </si>
  <si>
    <t>👥 إجمالي الوصول</t>
  </si>
  <si>
    <t>💬 إجمالي التفاعلات</t>
  </si>
  <si>
    <t>📈 معدل التفاعل</t>
  </si>
  <si>
    <t>🏆 أعلى فئة عمرية</t>
  </si>
  <si>
    <t>11912
حساب Meta</t>
  </si>
  <si>
    <t>1776
تفاعل مع المنشور</t>
  </si>
  <si>
    <t>14.9%
من إجمالي الوصول</t>
  </si>
  <si>
    <t>18-24
6,270 حساب</t>
  </si>
  <si>
    <t>ملخص البيانات الكامل</t>
  </si>
  <si>
    <t>البيان</t>
  </si>
  <si>
    <t>القيمة</t>
  </si>
  <si>
    <t>التفاصيل</t>
  </si>
  <si>
    <t>الوصول الكلي (Reach)</t>
  </si>
  <si>
    <t>11,912</t>
  </si>
  <si>
    <t>حسابات Meta في ولاية باتنة</t>
  </si>
  <si>
    <t>التفاعلات (Engagements)</t>
  </si>
  <si>
    <t>1,776</t>
  </si>
  <si>
    <t>تفاعل مع المنشور</t>
  </si>
  <si>
    <t>معدل التفاعل</t>
  </si>
  <si>
    <t>14.9%</t>
  </si>
  <si>
    <t>نسبة التفاعل من الوصول</t>
  </si>
  <si>
    <t>أكبر شريحة عمرية</t>
  </si>
  <si>
    <t>18-24</t>
  </si>
  <si>
    <t>6,270 حساب – 52.8%</t>
  </si>
  <si>
    <t>الجنس الأكثر وصولاً</t>
  </si>
  <si>
    <t>الإناث</t>
  </si>
  <si>
    <t>9,862 حساب – 82.6%</t>
  </si>
  <si>
    <t>المنطقة الجغرافية</t>
  </si>
  <si>
    <t>باتنة</t>
  </si>
  <si>
    <t>ولاية باتنة – الجزائر</t>
  </si>
  <si>
    <t>سنة الحملة</t>
  </si>
  <si>
    <t>2026</t>
  </si>
  <si>
    <t>بيانات Meta Ads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</si>
</sst>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2"/>
      <color rgb="FFFFFFFF"/>
      <name val="Arial"/>
      <charset val="1"/>
    </font>
    <font>
      <b/>
      <sz val="14"/>
      <color rgb="FF1E3A5F"/>
      <name val="Arial"/>
      <charset val="1"/>
    </font>
    <font>
      <b/>
      <sz val="11"/>
      <color rgb="FFFFFFFF"/>
      <name val="Arial"/>
      <charset val="1"/>
    </font>
    <font>
      <sz val="10"/>
      <color rgb="FF1A2533"/>
      <name val="Arial"/>
      <charset val="1"/>
    </font>
    <font>
      <b/>
      <sz val="10"/>
      <color rgb="FFFFFFFF"/>
      <name val="Arial"/>
      <charset val="1"/>
    </font>
    <font>
      <i/>
      <sz val="9"/>
      <color rgb="FF888888"/>
      <name val="Arial"/>
      <charset val="1"/>
    </font>
    <font>
      <b/>
      <sz val="13"/>
      <color rgb="FF1E3A5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1A2533"/>
      </patternFill>
    </fill>
    <fill>
      <patternFill patternType="solid">
        <fgColor rgb="FF2E6DA4"/>
        <bgColor rgb="FF4F81BD"/>
      </patternFill>
    </fill>
    <fill>
      <patternFill patternType="solid">
        <fgColor rgb="FFD6E4F0"/>
        <bgColor rgb="FFD9D9D9"/>
      </patternFill>
    </fill>
    <fill>
      <patternFill patternType="solid">
        <fgColor rgb="FFF5F7FA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8A838"/>
        <bgColor rgb="FFFFCC00"/>
      </patternFill>
    </fill>
  </fills>
  <borders count="3">
    <border>
      <left/>
      <right/>
      <top/>
      <bottom/>
      <diagonal/>
    </border>
    <border>
      <left style="thin">
        <color rgb="FFC5D5E8"/>
      </left>
      <right/>
      <top style="thin">
        <color rgb="FFC5D5E8"/>
      </top>
      <bottom style="thin">
        <color rgb="FFC5D5E8"/>
      </bottom>
      <diagonal/>
    </border>
    <border>
      <left style="thin">
        <color rgb="FFC5D5E8"/>
      </left>
      <right style="thin">
        <color rgb="FFC5D5E8"/>
      </right>
      <top style="thin">
        <color rgb="FFC5D5E8"/>
      </top>
      <bottom style="thin">
        <color rgb="FFC5D5E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8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E91E8C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78787"/>
      <rgbColor rgb="FF9999FF"/>
      <rgbColor rgb="FF993366"/>
      <rgbColor rgb="FFF9F9F9"/>
      <rgbColor rgb="FFD6E4F0"/>
      <rgbColor rgb="FF660066"/>
      <rgbColor rgb="FFFF8080"/>
      <rgbColor rgb="FF2E6DA4"/>
      <rgbColor rgb="FFC5D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838"/>
      <rgbColor rgb="FFFF6600"/>
      <rgbColor rgb="FF4F81BD"/>
      <rgbColor rgb="FF888888"/>
      <rgbColor rgb="FF1E3A5F"/>
      <rgbColor rgb="FF339966"/>
      <rgbColor rgb="FF003300"/>
      <rgbColor rgb="FF333300"/>
      <rgbColor rgb="FF993300"/>
      <rgbColor rgb="FF993366"/>
      <rgbColor rgb="FF333399"/>
      <rgbColor rgb="FF1A25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الوصول حسب الفئة العمرية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'تحليل الفئات العمرية'!$B$2</c:f>
              <c:strCache>
                <c:ptCount val="1"/>
                <c:pt idx="0">
                  <c:v>الوصول</c:v>
                </c:pt>
              </c:strCache>
            </c:strRef>
          </c:tx>
          <c:spPr>
            <a:solidFill>
              <a:srgbClr val="2E6DA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DZ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'تحليل الفئات العمرية'!$A$3:$A$8</c:f>
              <c:strCache>
                <c:ptCount val="6"/>
                <c:pt idx="0">
                  <c:v>18 – 24</c:v>
                </c:pt>
                <c:pt idx="1">
                  <c:v>25 – 34</c:v>
                </c:pt>
                <c:pt idx="2">
                  <c:v>35 – 44</c:v>
                </c:pt>
                <c:pt idx="3">
                  <c:v>45 – 54</c:v>
                </c:pt>
                <c:pt idx="4">
                  <c:v>55 – 64</c:v>
                </c:pt>
                <c:pt idx="5">
                  <c:v>65+</c:v>
                </c:pt>
              </c:strCache>
            </c:strRef>
          </c:cat>
          <c:val>
            <c:numRef>
              <c:f>'تحليل الفئات العمرية'!$B$3:$B$8</c:f>
              <c:numCache>
                <c:formatCode>General</c:formatCode>
                <c:ptCount val="6"/>
                <c:pt idx="0">
                  <c:v>6270</c:v>
                </c:pt>
                <c:pt idx="1">
                  <c:v>3390</c:v>
                </c:pt>
                <c:pt idx="2">
                  <c:v>1370</c:v>
                </c:pt>
                <c:pt idx="3">
                  <c:v>557</c:v>
                </c:pt>
                <c:pt idx="4">
                  <c:v>172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B-4D98-BF52-18477C2D2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98788"/>
        <c:axId val="17352341"/>
      </c:barChart>
      <c:catAx>
        <c:axId val="589878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الفئة العمرية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DZ"/>
          </a:p>
        </c:txPr>
        <c:crossAx val="17352341"/>
        <c:crosses val="autoZero"/>
        <c:auto val="1"/>
        <c:lblAlgn val="ctr"/>
        <c:lblOffset val="100"/>
        <c:noMultiLvlLbl val="0"/>
      </c:catAx>
      <c:valAx>
        <c:axId val="1735234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عدد الحسابات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DZ"/>
          </a:p>
        </c:txPr>
        <c:crossAx val="58987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ar-DZ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توزيع الجنس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'تحليل الجنس'!$B$2</c:f>
              <c:strCache>
                <c:ptCount val="1"/>
                <c:pt idx="0">
                  <c:v>الوصول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E91E8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C46-41BE-B39F-1EA2A35DF403}"/>
              </c:ext>
            </c:extLst>
          </c:dPt>
          <c:dPt>
            <c:idx val="1"/>
            <c:bubble3D val="0"/>
            <c:spPr>
              <a:solidFill>
                <a:srgbClr val="2E6DA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C46-41BE-B39F-1EA2A35DF403}"/>
              </c:ext>
            </c:extLst>
          </c:dPt>
          <c:dPt>
            <c:idx val="2"/>
            <c:bubble3D val="0"/>
            <c:spPr>
              <a:solidFill>
                <a:srgbClr val="AAAAA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C46-41BE-B39F-1EA2A35DF40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ar-DZ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C46-41BE-B39F-1EA2A35DF40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ar-DZ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C46-41BE-B39F-1EA2A35DF403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ar-DZ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C46-41BE-B39F-1EA2A35DF4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DZ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'تحليل الجنس'!$A$3:$A$5</c:f>
              <c:strCache>
                <c:ptCount val="3"/>
                <c:pt idx="0">
                  <c:v>الإناث (Female)</c:v>
                </c:pt>
                <c:pt idx="1">
                  <c:v>الذكور (Male)</c:v>
                </c:pt>
                <c:pt idx="2">
                  <c:v>غير محدد</c:v>
                </c:pt>
              </c:strCache>
            </c:strRef>
          </c:cat>
          <c:val>
            <c:numRef>
              <c:f>'تحليل الجنس'!$B$3:$B$5</c:f>
              <c:numCache>
                <c:formatCode>General</c:formatCode>
                <c:ptCount val="3"/>
                <c:pt idx="0">
                  <c:v>9862</c:v>
                </c:pt>
                <c:pt idx="1">
                  <c:v>2014</c:v>
                </c:pt>
                <c:pt idx="2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46-41BE-B39F-1EA2A35DF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ar-DZ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-417960</xdr:colOff>
      <xdr:row>9</xdr:row>
      <xdr:rowOff>0</xdr:rowOff>
    </xdr:from>
    <xdr:to>
      <xdr:col>5</xdr:col>
      <xdr:colOff>0</xdr:colOff>
      <xdr:row>31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-355320</xdr:colOff>
      <xdr:row>6</xdr:row>
      <xdr:rowOff>0</xdr:rowOff>
    </xdr:from>
    <xdr:to>
      <xdr:col>5</xdr:col>
      <xdr:colOff>0</xdr:colOff>
      <xdr:row>28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rightToLeft="1" zoomScaleNormal="100" workbookViewId="0"/>
  </sheetViews>
  <sheetFormatPr defaultColWidth="8.7109375" defaultRowHeight="15" x14ac:dyDescent="0.25"/>
  <cols>
    <col min="1" max="1" width="26" customWidth="1"/>
    <col min="2" max="2" width="20" customWidth="1"/>
    <col min="3" max="3" width="16" customWidth="1"/>
    <col min="4" max="6" width="8" customWidth="1"/>
  </cols>
  <sheetData>
    <row r="1" spans="1:6" ht="39.75" customHeight="1" x14ac:dyDescent="0.25">
      <c r="A1" s="7" t="s">
        <v>0</v>
      </c>
      <c r="B1" s="7"/>
      <c r="C1" s="7"/>
      <c r="D1" s="7"/>
      <c r="E1" s="7"/>
      <c r="F1" s="7"/>
    </row>
    <row r="3" spans="1:6" ht="27.75" customHeight="1" x14ac:dyDescent="0.25">
      <c r="A3" s="6" t="s">
        <v>1</v>
      </c>
      <c r="B3" s="6"/>
      <c r="C3" s="6"/>
      <c r="D3" s="6"/>
      <c r="E3" s="6"/>
      <c r="F3" s="6"/>
    </row>
    <row r="4" spans="1:6" ht="54.75" customHeight="1" x14ac:dyDescent="0.25">
      <c r="A4" s="5" t="s">
        <v>2</v>
      </c>
      <c r="B4" s="5"/>
      <c r="C4" s="5"/>
      <c r="D4" s="5" t="s">
        <v>3</v>
      </c>
      <c r="E4" s="5"/>
      <c r="F4" s="5"/>
    </row>
    <row r="5" spans="1:6" ht="54.75" customHeight="1" x14ac:dyDescent="0.25">
      <c r="A5" s="5" t="s">
        <v>4</v>
      </c>
      <c r="B5" s="5"/>
      <c r="C5" s="5"/>
      <c r="D5" s="5" t="s">
        <v>5</v>
      </c>
      <c r="E5" s="5"/>
      <c r="F5" s="5"/>
    </row>
    <row r="6" spans="1:6" ht="9.75" customHeight="1" x14ac:dyDescent="0.25"/>
    <row r="7" spans="1:6" ht="27.75" customHeight="1" x14ac:dyDescent="0.25">
      <c r="A7" s="4" t="s">
        <v>6</v>
      </c>
      <c r="B7" s="4"/>
      <c r="C7" s="4"/>
      <c r="D7" s="4"/>
      <c r="E7" s="4"/>
      <c r="F7" s="4"/>
    </row>
    <row r="8" spans="1:6" x14ac:dyDescent="0.25">
      <c r="A8" s="8" t="s">
        <v>7</v>
      </c>
      <c r="B8" s="8" t="s">
        <v>8</v>
      </c>
      <c r="C8" s="8" t="s">
        <v>9</v>
      </c>
      <c r="D8" s="8"/>
      <c r="E8" s="8"/>
      <c r="F8" s="8"/>
    </row>
    <row r="9" spans="1:6" x14ac:dyDescent="0.25">
      <c r="A9" s="9" t="s">
        <v>10</v>
      </c>
      <c r="B9" s="9">
        <v>6270</v>
      </c>
      <c r="C9" s="9" t="s">
        <v>11</v>
      </c>
      <c r="D9" s="9"/>
      <c r="E9" s="9"/>
      <c r="F9" s="9"/>
    </row>
    <row r="10" spans="1:6" x14ac:dyDescent="0.25">
      <c r="A10" s="10" t="s">
        <v>12</v>
      </c>
      <c r="B10" s="10">
        <v>3390</v>
      </c>
      <c r="C10" s="10" t="s">
        <v>13</v>
      </c>
      <c r="D10" s="10"/>
      <c r="E10" s="10"/>
      <c r="F10" s="10"/>
    </row>
    <row r="11" spans="1:6" x14ac:dyDescent="0.25">
      <c r="A11" s="9" t="s">
        <v>14</v>
      </c>
      <c r="B11" s="9">
        <v>1370</v>
      </c>
      <c r="C11" s="9" t="s">
        <v>15</v>
      </c>
      <c r="D11" s="9"/>
      <c r="E11" s="9"/>
      <c r="F11" s="9"/>
    </row>
    <row r="12" spans="1:6" x14ac:dyDescent="0.25">
      <c r="A12" s="10" t="s">
        <v>16</v>
      </c>
      <c r="B12" s="10">
        <v>557</v>
      </c>
      <c r="C12" s="10" t="s">
        <v>17</v>
      </c>
      <c r="D12" s="10"/>
      <c r="E12" s="10"/>
      <c r="F12" s="10"/>
    </row>
    <row r="13" spans="1:6" x14ac:dyDescent="0.25">
      <c r="A13" s="9" t="s">
        <v>18</v>
      </c>
      <c r="B13" s="9">
        <v>172</v>
      </c>
      <c r="C13" s="9" t="s">
        <v>19</v>
      </c>
      <c r="D13" s="9"/>
      <c r="E13" s="9"/>
      <c r="F13" s="9"/>
    </row>
    <row r="14" spans="1:6" x14ac:dyDescent="0.25">
      <c r="A14" s="10" t="s">
        <v>20</v>
      </c>
      <c r="B14" s="10">
        <v>81</v>
      </c>
      <c r="C14" s="10" t="s">
        <v>21</v>
      </c>
      <c r="D14" s="10"/>
      <c r="E14" s="10"/>
      <c r="F14" s="10"/>
    </row>
    <row r="15" spans="1:6" ht="24" customHeight="1" x14ac:dyDescent="0.25">
      <c r="A15" s="11" t="s">
        <v>22</v>
      </c>
      <c r="B15" s="11">
        <f>SUM(B9:B14)</f>
        <v>11840</v>
      </c>
      <c r="C15" s="11" t="str">
        <f>TEXT(B15/B15,"100%")</f>
        <v>1100%</v>
      </c>
      <c r="D15" s="11"/>
      <c r="E15" s="11"/>
      <c r="F15" s="11"/>
    </row>
    <row r="17" spans="1:6" ht="27.75" customHeight="1" x14ac:dyDescent="0.25">
      <c r="A17" s="4" t="s">
        <v>23</v>
      </c>
      <c r="B17" s="4"/>
      <c r="C17" s="4"/>
      <c r="D17" s="4"/>
      <c r="E17" s="4"/>
      <c r="F17" s="4"/>
    </row>
    <row r="18" spans="1:6" x14ac:dyDescent="0.25">
      <c r="A18" s="8" t="s">
        <v>24</v>
      </c>
      <c r="B18" s="8" t="s">
        <v>8</v>
      </c>
      <c r="C18" s="8" t="s">
        <v>9</v>
      </c>
      <c r="D18" s="8"/>
      <c r="E18" s="8"/>
      <c r="F18" s="8"/>
    </row>
    <row r="19" spans="1:6" x14ac:dyDescent="0.25">
      <c r="A19" s="9" t="s">
        <v>25</v>
      </c>
      <c r="B19" s="9">
        <v>9862</v>
      </c>
      <c r="C19" s="9" t="s">
        <v>26</v>
      </c>
      <c r="D19" s="9"/>
      <c r="E19" s="9"/>
      <c r="F19" s="9"/>
    </row>
    <row r="20" spans="1:6" x14ac:dyDescent="0.25">
      <c r="A20" s="10" t="s">
        <v>27</v>
      </c>
      <c r="B20" s="10">
        <v>2014</v>
      </c>
      <c r="C20" s="10" t="s">
        <v>28</v>
      </c>
      <c r="D20" s="10"/>
      <c r="E20" s="10"/>
      <c r="F20" s="10"/>
    </row>
    <row r="21" spans="1:6" x14ac:dyDescent="0.25">
      <c r="A21" s="9" t="s">
        <v>29</v>
      </c>
      <c r="B21" s="9">
        <v>66</v>
      </c>
      <c r="C21" s="9" t="s">
        <v>30</v>
      </c>
      <c r="D21" s="9"/>
      <c r="E21" s="9"/>
      <c r="F21" s="9"/>
    </row>
    <row r="22" spans="1:6" x14ac:dyDescent="0.25">
      <c r="A22" s="11" t="s">
        <v>22</v>
      </c>
      <c r="B22" s="11">
        <f>SUM(B19:B21)</f>
        <v>11942</v>
      </c>
      <c r="C22" s="11" t="s">
        <v>31</v>
      </c>
      <c r="D22" s="11"/>
      <c r="E22" s="11"/>
      <c r="F22" s="11"/>
    </row>
    <row r="24" spans="1:6" ht="27.75" customHeight="1" x14ac:dyDescent="0.25">
      <c r="A24" s="4" t="s">
        <v>32</v>
      </c>
      <c r="B24" s="4"/>
      <c r="C24" s="4"/>
      <c r="D24" s="4"/>
      <c r="E24" s="4"/>
      <c r="F24" s="4"/>
    </row>
    <row r="25" spans="1:6" x14ac:dyDescent="0.25">
      <c r="A25" s="8" t="s">
        <v>33</v>
      </c>
      <c r="B25" s="8" t="s">
        <v>34</v>
      </c>
      <c r="C25" s="8"/>
      <c r="D25" s="8"/>
      <c r="E25" s="8"/>
      <c r="F25" s="8"/>
    </row>
    <row r="26" spans="1:6" x14ac:dyDescent="0.25">
      <c r="A26" s="10" t="s">
        <v>35</v>
      </c>
      <c r="B26" s="10">
        <v>1776</v>
      </c>
      <c r="C26" s="10"/>
      <c r="D26" s="10"/>
      <c r="E26" s="10"/>
      <c r="F26" s="10"/>
    </row>
    <row r="28" spans="1:6" ht="19.5" customHeight="1" x14ac:dyDescent="0.25">
      <c r="A28" s="3" t="s">
        <v>36</v>
      </c>
      <c r="B28" s="3"/>
      <c r="C28" s="3"/>
      <c r="D28" s="3"/>
      <c r="E28" s="3"/>
      <c r="F28" s="3"/>
    </row>
  </sheetData>
  <mergeCells count="10">
    <mergeCell ref="A7:F7"/>
    <mergeCell ref="A17:F17"/>
    <mergeCell ref="A24:F24"/>
    <mergeCell ref="A28:F28"/>
    <mergeCell ref="A1:F1"/>
    <mergeCell ref="A3:F3"/>
    <mergeCell ref="A4:C4"/>
    <mergeCell ref="D4:F4"/>
    <mergeCell ref="A5:C5"/>
    <mergeCell ref="D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rightToLeft="1" tabSelected="1" zoomScaleNormal="100" workbookViewId="0">
      <selection sqref="A1:E1"/>
    </sheetView>
  </sheetViews>
  <sheetFormatPr defaultColWidth="8.7109375" defaultRowHeight="15" x14ac:dyDescent="0.25"/>
  <cols>
    <col min="1" max="1" width="22" customWidth="1"/>
    <col min="2" max="2" width="18" customWidth="1"/>
    <col min="3" max="3" width="16" customWidth="1"/>
    <col min="4" max="4" width="20" customWidth="1"/>
    <col min="5" max="5" width="10" customWidth="1"/>
  </cols>
  <sheetData>
    <row r="1" spans="1:5" ht="37.5" customHeight="1" x14ac:dyDescent="0.25">
      <c r="A1" s="7" t="s">
        <v>37</v>
      </c>
      <c r="B1" s="7"/>
      <c r="C1" s="7"/>
      <c r="D1" s="7"/>
      <c r="E1" s="7"/>
    </row>
    <row r="2" spans="1:5" x14ac:dyDescent="0.25">
      <c r="A2" s="8" t="s">
        <v>7</v>
      </c>
      <c r="B2" s="8" t="s">
        <v>38</v>
      </c>
      <c r="C2" s="8" t="s">
        <v>9</v>
      </c>
      <c r="D2" s="8" t="s">
        <v>39</v>
      </c>
      <c r="E2" s="8"/>
    </row>
    <row r="3" spans="1:5" x14ac:dyDescent="0.25">
      <c r="A3" s="9" t="s">
        <v>10</v>
      </c>
      <c r="B3" s="9">
        <v>6270</v>
      </c>
      <c r="C3" s="9" t="s">
        <v>11</v>
      </c>
      <c r="D3" s="9" t="s">
        <v>40</v>
      </c>
      <c r="E3" s="9"/>
    </row>
    <row r="4" spans="1:5" x14ac:dyDescent="0.25">
      <c r="A4" s="10" t="s">
        <v>12</v>
      </c>
      <c r="B4" s="10">
        <v>3390</v>
      </c>
      <c r="C4" s="10" t="s">
        <v>13</v>
      </c>
      <c r="D4" s="10" t="s">
        <v>41</v>
      </c>
      <c r="E4" s="10"/>
    </row>
    <row r="5" spans="1:5" x14ac:dyDescent="0.25">
      <c r="A5" s="9" t="s">
        <v>14</v>
      </c>
      <c r="B5" s="9">
        <v>1370</v>
      </c>
      <c r="C5" s="9" t="s">
        <v>15</v>
      </c>
      <c r="D5" s="9" t="s">
        <v>42</v>
      </c>
      <c r="E5" s="9"/>
    </row>
    <row r="6" spans="1:5" x14ac:dyDescent="0.25">
      <c r="A6" s="10" t="s">
        <v>16</v>
      </c>
      <c r="B6" s="10">
        <v>557</v>
      </c>
      <c r="C6" s="10" t="s">
        <v>17</v>
      </c>
      <c r="D6" s="10" t="s">
        <v>43</v>
      </c>
      <c r="E6" s="10"/>
    </row>
    <row r="7" spans="1:5" x14ac:dyDescent="0.25">
      <c r="A7" s="9" t="s">
        <v>18</v>
      </c>
      <c r="B7" s="9">
        <v>172</v>
      </c>
      <c r="C7" s="9" t="s">
        <v>19</v>
      </c>
      <c r="D7" s="9" t="s">
        <v>43</v>
      </c>
      <c r="E7" s="9"/>
    </row>
    <row r="8" spans="1:5" x14ac:dyDescent="0.25">
      <c r="A8" s="10" t="s">
        <v>20</v>
      </c>
      <c r="B8" s="10">
        <v>81</v>
      </c>
      <c r="C8" s="10" t="s">
        <v>21</v>
      </c>
      <c r="D8" s="10" t="s">
        <v>43</v>
      </c>
      <c r="E8" s="10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rightToLeft="1" zoomScaleNormal="100" workbookViewId="0"/>
  </sheetViews>
  <sheetFormatPr defaultColWidth="8.7109375" defaultRowHeight="15" x14ac:dyDescent="0.25"/>
  <cols>
    <col min="1" max="1" width="24" customWidth="1"/>
    <col min="2" max="2" width="18" customWidth="1"/>
    <col min="3" max="3" width="16" customWidth="1"/>
    <col min="4" max="4" width="10" customWidth="1"/>
  </cols>
  <sheetData>
    <row r="1" spans="1:4" ht="37.5" customHeight="1" x14ac:dyDescent="0.25">
      <c r="A1" s="7" t="s">
        <v>44</v>
      </c>
      <c r="B1" s="7"/>
      <c r="C1" s="7"/>
      <c r="D1" s="7"/>
    </row>
    <row r="2" spans="1:4" x14ac:dyDescent="0.25">
      <c r="A2" s="8" t="s">
        <v>24</v>
      </c>
      <c r="B2" s="8" t="s">
        <v>38</v>
      </c>
      <c r="C2" s="8" t="s">
        <v>9</v>
      </c>
      <c r="D2" s="8"/>
    </row>
    <row r="3" spans="1:4" x14ac:dyDescent="0.25">
      <c r="A3" s="9" t="s">
        <v>25</v>
      </c>
      <c r="B3" s="9">
        <v>9862</v>
      </c>
      <c r="C3" s="9" t="s">
        <v>26</v>
      </c>
      <c r="D3" s="9"/>
    </row>
    <row r="4" spans="1:4" x14ac:dyDescent="0.25">
      <c r="A4" s="10" t="s">
        <v>27</v>
      </c>
      <c r="B4" s="10">
        <v>2014</v>
      </c>
      <c r="C4" s="10" t="s">
        <v>28</v>
      </c>
      <c r="D4" s="10"/>
    </row>
    <row r="5" spans="1:4" x14ac:dyDescent="0.25">
      <c r="A5" s="9" t="s">
        <v>29</v>
      </c>
      <c r="B5" s="9">
        <v>66</v>
      </c>
      <c r="C5" s="9" t="s">
        <v>30</v>
      </c>
      <c r="D5" s="9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rightToLeft="1" zoomScaleNormal="100" workbookViewId="0"/>
  </sheetViews>
  <sheetFormatPr defaultColWidth="8.7109375" defaultRowHeight="15" x14ac:dyDescent="0.25"/>
  <cols>
    <col min="1" max="1" width="28" customWidth="1"/>
    <col min="2" max="2" width="20" customWidth="1"/>
    <col min="3" max="3" width="28" customWidth="1"/>
    <col min="4" max="8" width="8" customWidth="1"/>
  </cols>
  <sheetData>
    <row r="1" spans="1:8" ht="42" customHeight="1" x14ac:dyDescent="0.25">
      <c r="A1" s="7" t="s">
        <v>45</v>
      </c>
      <c r="B1" s="7"/>
      <c r="C1" s="7"/>
      <c r="D1" s="7"/>
      <c r="E1" s="7"/>
      <c r="F1" s="7"/>
      <c r="G1" s="7"/>
      <c r="H1" s="7"/>
    </row>
    <row r="3" spans="1:8" ht="60" customHeight="1" x14ac:dyDescent="0.25">
      <c r="A3" s="2" t="s">
        <v>46</v>
      </c>
      <c r="B3" s="2"/>
      <c r="C3" s="2" t="s">
        <v>47</v>
      </c>
      <c r="D3" s="2"/>
      <c r="E3" s="2" t="s">
        <v>48</v>
      </c>
      <c r="F3" s="2"/>
      <c r="G3" s="2" t="s">
        <v>49</v>
      </c>
      <c r="H3" s="2"/>
    </row>
    <row r="4" spans="1:8" ht="30" customHeight="1" x14ac:dyDescent="0.25">
      <c r="A4" s="1" t="s">
        <v>50</v>
      </c>
      <c r="B4" s="1"/>
      <c r="C4" s="1" t="s">
        <v>51</v>
      </c>
      <c r="D4" s="1"/>
      <c r="E4" s="1" t="s">
        <v>52</v>
      </c>
      <c r="F4" s="1"/>
      <c r="G4" s="1" t="s">
        <v>53</v>
      </c>
      <c r="H4" s="1"/>
    </row>
    <row r="6" spans="1:8" ht="25.5" customHeight="1" x14ac:dyDescent="0.25">
      <c r="A6" s="4" t="s">
        <v>54</v>
      </c>
      <c r="B6" s="4"/>
      <c r="C6" s="4"/>
      <c r="D6" s="4"/>
      <c r="E6" s="4"/>
      <c r="F6" s="4"/>
      <c r="G6" s="4"/>
      <c r="H6" s="4"/>
    </row>
    <row r="7" spans="1:8" x14ac:dyDescent="0.25">
      <c r="A7" s="8" t="s">
        <v>55</v>
      </c>
      <c r="B7" s="8" t="s">
        <v>56</v>
      </c>
      <c r="C7" s="8" t="s">
        <v>57</v>
      </c>
      <c r="D7" s="8"/>
      <c r="E7" s="8"/>
      <c r="F7" s="8"/>
      <c r="G7" s="8"/>
      <c r="H7" s="8"/>
    </row>
    <row r="8" spans="1:8" x14ac:dyDescent="0.25">
      <c r="A8" s="9" t="s">
        <v>58</v>
      </c>
      <c r="B8" s="9" t="s">
        <v>59</v>
      </c>
      <c r="C8" s="9" t="s">
        <v>60</v>
      </c>
      <c r="D8" s="9"/>
      <c r="E8" s="9"/>
      <c r="F8" s="9"/>
      <c r="G8" s="9"/>
      <c r="H8" s="9"/>
    </row>
    <row r="9" spans="1:8" x14ac:dyDescent="0.25">
      <c r="A9" s="10" t="s">
        <v>61</v>
      </c>
      <c r="B9" s="10" t="s">
        <v>62</v>
      </c>
      <c r="C9" s="10" t="s">
        <v>63</v>
      </c>
      <c r="D9" s="10"/>
      <c r="E9" s="10"/>
      <c r="F9" s="10"/>
      <c r="G9" s="10"/>
      <c r="H9" s="10"/>
    </row>
    <row r="10" spans="1:8" x14ac:dyDescent="0.25">
      <c r="A10" s="9" t="s">
        <v>64</v>
      </c>
      <c r="B10" s="9" t="s">
        <v>65</v>
      </c>
      <c r="C10" s="9" t="s">
        <v>66</v>
      </c>
      <c r="D10" s="9"/>
      <c r="E10" s="9"/>
      <c r="F10" s="9"/>
      <c r="G10" s="9"/>
      <c r="H10" s="9"/>
    </row>
    <row r="11" spans="1:8" x14ac:dyDescent="0.25">
      <c r="A11" s="10" t="s">
        <v>67</v>
      </c>
      <c r="B11" s="10" t="s">
        <v>68</v>
      </c>
      <c r="C11" s="10" t="s">
        <v>69</v>
      </c>
      <c r="D11" s="10"/>
      <c r="E11" s="10"/>
      <c r="F11" s="10"/>
      <c r="G11" s="10"/>
      <c r="H11" s="10"/>
    </row>
    <row r="12" spans="1:8" x14ac:dyDescent="0.25">
      <c r="A12" s="9" t="s">
        <v>70</v>
      </c>
      <c r="B12" s="9" t="s">
        <v>71</v>
      </c>
      <c r="C12" s="9" t="s">
        <v>72</v>
      </c>
      <c r="D12" s="9"/>
      <c r="E12" s="9"/>
      <c r="F12" s="9"/>
      <c r="G12" s="9"/>
      <c r="H12" s="9"/>
    </row>
    <row r="13" spans="1:8" x14ac:dyDescent="0.25">
      <c r="A13" s="10" t="s">
        <v>73</v>
      </c>
      <c r="B13" s="10" t="s">
        <v>74</v>
      </c>
      <c r="C13" s="10" t="s">
        <v>75</v>
      </c>
      <c r="D13" s="10"/>
      <c r="E13" s="10"/>
      <c r="F13" s="10"/>
      <c r="G13" s="10"/>
      <c r="H13" s="10"/>
    </row>
    <row r="14" spans="1:8" x14ac:dyDescent="0.25">
      <c r="A14" s="9" t="s">
        <v>76</v>
      </c>
      <c r="B14" s="9" t="s">
        <v>77</v>
      </c>
      <c r="C14" s="9" t="s">
        <v>78</v>
      </c>
      <c r="D14" s="9"/>
      <c r="E14" s="9"/>
      <c r="F14" s="9"/>
      <c r="G14" s="9"/>
      <c r="H14" s="9"/>
    </row>
  </sheetData>
  <mergeCells count="10">
    <mergeCell ref="A4:B4"/>
    <mergeCell ref="C4:D4"/>
    <mergeCell ref="E4:F4"/>
    <mergeCell ref="G4:H4"/>
    <mergeCell ref="A6:H6"/>
    <mergeCell ref="A1:H1"/>
    <mergeCell ref="A3:B3"/>
    <mergeCell ref="C3:D3"/>
    <mergeCell ref="E3:F3"/>
    <mergeCell ref="G3:H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ملخص الإعلان</vt:lpstr>
      <vt:lpstr>تحليل الفئات العمرية</vt:lpstr>
      <vt:lpstr>تحليل الجنس</vt:lpstr>
      <vt:lpstr>لوحة التحكم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Smd Onetop</cp:lastModifiedBy>
  <cp:revision>1</cp:revision>
  <dcterms:created xsi:type="dcterms:W3CDTF">2026-06-18T11:49:40Z</dcterms:created>
  <dcterms:modified xsi:type="dcterms:W3CDTF">2026-06-18T11:53:46Z</dcterms:modified>
  <dc:language>en-US</dc:language>
</cp:coreProperties>
</file>